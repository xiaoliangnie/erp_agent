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合同" sheetId="2" r:id="rId1"/>
  </sheets>
  <definedNames>
    <definedName name="_xlnm.Print_Area" localSheetId="0">合同!$A$1:$R$18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902B6EFA44545599DA800C33977F32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6635" y="3124200"/>
          <a:ext cx="4248150" cy="508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141D66A299754B06AEB4B310CA2D5E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6635" y="2273300"/>
          <a:ext cx="5391150" cy="38195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<sst xmlns="http://schemas.openxmlformats.org/spreadsheetml/2006/main" count="58" uniqueCount="54">
  <si>
    <t>杭 州 无 际 云 帆 采 购 单</t>
  </si>
  <si>
    <t>项目负责人/设计师</t>
  </si>
  <si>
    <t>下单日期</t>
  </si>
  <si>
    <t>交货日期</t>
  </si>
  <si>
    <t>需方：</t>
  </si>
  <si>
    <t>杭州无际云帆文化传媒有限公司</t>
  </si>
  <si>
    <t>供方:</t>
  </si>
  <si>
    <t>连云港佰特玩具有限公司</t>
  </si>
  <si>
    <t>送货地址：</t>
  </si>
  <si>
    <t>鄂州仓</t>
  </si>
  <si>
    <t>地址：</t>
  </si>
  <si>
    <t>扬州百特玩具有限公司江苏省扬州市邗江区司徒庙路299号（通达工贸大院）</t>
  </si>
  <si>
    <t>联系人：</t>
  </si>
  <si>
    <t>湖北省鄂州市华容区葛店开发区唯品会1库1分区4号门，高德导航定位搜（蓝库1号），收货（蜀黍家）：13385711803</t>
  </si>
  <si>
    <t>汪炎 13912133467</t>
  </si>
  <si>
    <t>序号</t>
  </si>
  <si>
    <t>图片</t>
  </si>
  <si>
    <t>款式编码</t>
  </si>
  <si>
    <t>商品编码</t>
  </si>
  <si>
    <t>国标码</t>
  </si>
  <si>
    <t>品名</t>
  </si>
  <si>
    <t>分类</t>
  </si>
  <si>
    <t>虚拟分类</t>
  </si>
  <si>
    <t>材质工艺</t>
  </si>
  <si>
    <t>包装方式</t>
  </si>
  <si>
    <t>数量</t>
  </si>
  <si>
    <t>单位</t>
  </si>
  <si>
    <r>
      <rPr>
        <sz val="11"/>
        <color theme="1"/>
        <rFont val="Microsoft YaHei"/>
        <charset val="134"/>
      </rPr>
      <t>单价（</t>
    </r>
    <r>
      <rPr>
        <sz val="11"/>
        <color rgb="FFFF0000"/>
        <rFont val="Microsoft YaHei"/>
        <charset val="134"/>
      </rPr>
      <t>含13%专票税</t>
    </r>
    <r>
      <rPr>
        <sz val="11"/>
        <color theme="1"/>
        <rFont val="Microsoft YaHei"/>
        <charset val="134"/>
      </rPr>
      <t>）</t>
    </r>
  </si>
  <si>
    <t>小计：元</t>
  </si>
  <si>
    <t>备注</t>
  </si>
  <si>
    <t>BH25701004-022</t>
  </si>
  <si>
    <t>BH25701004-02202</t>
  </si>
  <si>
    <t>6978340007079</t>
  </si>
  <si>
    <t>因公致秃毛绒挂件;骑行</t>
  </si>
  <si>
    <t>毛绒（04）</t>
  </si>
  <si>
    <t>毛绒挂件（0402）</t>
  </si>
  <si>
    <r>
      <t>绒布娃娃</t>
    </r>
    <r>
      <rPr>
        <sz val="9"/>
        <color rgb="FF000000"/>
        <rFont val="Arial"/>
        <charset val="134"/>
      </rPr>
      <t>;</t>
    </r>
    <r>
      <rPr>
        <sz val="9"/>
        <color rgb="FF000000"/>
        <rFont val="Microsoft YaHei"/>
        <charset val="134"/>
      </rPr>
      <t>骑行;按需方工艺单要求</t>
    </r>
  </si>
  <si>
    <r>
      <t>产品+PVC拉链袋/外箱——</t>
    </r>
    <r>
      <rPr>
        <sz val="10"/>
        <color rgb="FFFF0000"/>
        <rFont val="微软雅黑"/>
        <charset val="134"/>
      </rPr>
      <t>所有</t>
    </r>
    <r>
      <rPr>
        <sz val="10"/>
        <color rgb="FF1D2129"/>
        <rFont val="微软雅黑"/>
        <charset val="134"/>
      </rPr>
      <t>包材供方自备</t>
    </r>
  </si>
  <si>
    <t>个</t>
  </si>
  <si>
    <t>使用需方指定的PVC拉链盒包装，背后贴条码标贴</t>
  </si>
  <si>
    <t>合计金额：</t>
  </si>
  <si>
    <t>包装</t>
  </si>
  <si>
    <t>1.外箱标注箱号、商品编码、数量，1号箱放发货单
2.单件不超过25kg</t>
  </si>
  <si>
    <t>付款方式</t>
  </si>
  <si>
    <t>100% - 现结，入库结算
采购单号604264</t>
  </si>
  <si>
    <t>检验标准</t>
  </si>
  <si>
    <t>1.到仓产品及包装无破损
2.入仓数量与下单数量一致</t>
  </si>
  <si>
    <t>送货地址</t>
  </si>
  <si>
    <t>1、上述价格为暂计价格，实际以购买方验收合格的产品数量为准；
2、运费以及其他未列明的涉及费用均由供方承担；
3、供方负责产品的包装，包装费用由供方承担，如包装不善致使产品受损，责任由供方自行承担；
4、本订货单签署时的税率为13%。若适用的增值税率发生变化的，该增值税金额应按届时税率相应调整，本合同约定的不含税价保持不变，供方未按要求开票的，购买方可延迟付款直至供方开票；
5、供方提供的产品质量不合格，购买方有权拒收货物，双方对产品质量有争议，购买方有权要求供方提供对应的检测报告，如检测不合格检测费用由供方自行承担；
6、供方应按日期交货，每逾期一天，按逾期交货部分货物货款的百分之一标准向购买方支付违约金；
7、订货过程中发生纠纷，双方应协商解决，协商不成，双方可向购买方所在地人民法院起诉。
8、甲乙双方在本协议列示的地址均为各自的送达地址；任何一方的送达地址发生变化的，均应当在送达地址发生变化之日起3个工作日内书面通知对方。甲乙双方在向对方列示的任一送达地址送达有关文书时，如果发生收件人拒绝签收或其它无法送达情形的，则从发件人寄出文书之日起视为已经送达对方。
9、当一方由于地震、水灾、政府政策等不可抗力的原因而不能履行本协议时，应立即以书面形式通知对方有关详细情况，并尽力减少双方的损失。因其怠于采取相应措施致使损失扩大的，不得就扩大的损失主张免责。
10、双方保证，对于协议履行过程中接触到的相对方或其关联方（包括但不限于相对方所投资、控制的相关经营主体）商业秘密，除得到相对方的明确书面授权和履行职务需要外，不得以任何方式向任何未经授权的第三方公开。上述保密义务在本协议终止后仍然有效。
11、在本订单的履行过程中，任何一方不得利用职务上的便利，索取他人财物或者非法收受他人财物，为他人谋取利益，如任何一方违反，相对方有权终止本订单的履行并要求违约方支付不少于30万的违约金。如涉嫌触犯相关法律法规的，相对方有追究刑事责任的权利。
12、本订货单一式两份，双方各执一份，具有同等法律效力，本订货单经双方盖章后生效</t>
  </si>
  <si>
    <t>供方</t>
  </si>
  <si>
    <t>申请人：</t>
  </si>
  <si>
    <t>静静</t>
  </si>
  <si>
    <t>直属领导签字：</t>
  </si>
  <si>
    <t>副总经理签字：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</si>
</sst>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.00_);[Red]\(0.00\)"/>
    <numFmt numFmtId="179" formatCode="yyyy&quot;年&quot;m&quot;月&quot;d&quot;日&quot;;@"/>
    <numFmt numFmtId="180" formatCode="0.0_ "/>
    <numFmt numFmtId="181" formatCode="0_ "/>
    <numFmt numFmtId="182" formatCode="&quot;￥&quot;#,##0.00_);[Red]\(&quot;￥&quot;#,##0.00\)"/>
  </numFmts>
  <fonts count="47">
    <font>
      <sz val="12"/>
      <name val="宋体"/>
      <charset val="134"/>
    </font>
    <font>
      <b/>
      <sz val="11"/>
      <color theme="1"/>
      <name val="Arial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6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Arial"/>
      <charset val="134"/>
    </font>
    <font>
      <sz val="9"/>
      <color theme="1"/>
      <name val="Arial"/>
      <charset val="134"/>
    </font>
    <font>
      <sz val="10"/>
      <color rgb="FF000000"/>
      <name val="微软雅黑"/>
      <charset val="134"/>
    </font>
    <font>
      <sz val="9"/>
      <color rgb="FF000000"/>
      <name val="Microsoft YaHei"/>
      <charset val="134"/>
    </font>
    <font>
      <sz val="10"/>
      <color rgb="FF1D2129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1D2129"/>
      <name val="宋体"/>
      <charset val="134"/>
    </font>
    <font>
      <sz val="11"/>
      <color rgb="FFFF0000"/>
      <name val="Arial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Microsoft YaHei"/>
      <charset val="134"/>
    </font>
    <font>
      <sz val="10"/>
      <color rgb="FFFF0000"/>
      <name val="微软雅黑"/>
      <charset val="134"/>
    </font>
    <font>
      <sz val="9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7" applyNumberFormat="0" applyAlignment="0" applyProtection="0">
      <alignment vertical="center"/>
    </xf>
    <xf numFmtId="0" fontId="34" fillId="4" borderId="18" applyNumberFormat="0" applyAlignment="0" applyProtection="0">
      <alignment vertical="center"/>
    </xf>
    <xf numFmtId="0" fontId="35" fillId="4" borderId="17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>
      <alignment vertical="center"/>
    </xf>
    <xf numFmtId="178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79" fontId="5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 wrapText="1"/>
    </xf>
    <xf numFmtId="177" fontId="6" fillId="0" borderId="7" xfId="0" applyNumberFormat="1" applyFont="1" applyFill="1" applyBorder="1" applyAlignment="1">
      <alignment horizontal="center" vertical="center" wrapText="1"/>
    </xf>
    <xf numFmtId="178" fontId="6" fillId="0" borderId="7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 wrapText="1"/>
    </xf>
    <xf numFmtId="180" fontId="10" fillId="0" borderId="12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81" fontId="12" fillId="0" borderId="13" xfId="0" applyNumberFormat="1" applyFont="1" applyFill="1" applyBorder="1" applyAlignment="1">
      <alignment horizontal="center" vertical="center" wrapText="1"/>
    </xf>
    <xf numFmtId="176" fontId="13" fillId="0" borderId="11" xfId="0" applyNumberFormat="1" applyFont="1" applyFill="1" applyBorder="1" applyAlignment="1">
      <alignment horizontal="center" vertical="center" wrapText="1"/>
    </xf>
    <xf numFmtId="182" fontId="13" fillId="0" borderId="11" xfId="0" applyNumberFormat="1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vertical="center" wrapText="1"/>
    </xf>
    <xf numFmtId="0" fontId="16" fillId="0" borderId="7" xfId="0" applyFont="1" applyFill="1" applyBorder="1" applyAlignment="1">
      <alignment vertical="center"/>
    </xf>
    <xf numFmtId="0" fontId="17" fillId="0" borderId="7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 wrapText="1"/>
    </xf>
    <xf numFmtId="176" fontId="19" fillId="0" borderId="7" xfId="0" applyNumberFormat="1" applyFont="1" applyFill="1" applyBorder="1" applyAlignment="1">
      <alignment horizontal="center" vertical="center" wrapText="1"/>
    </xf>
    <xf numFmtId="177" fontId="7" fillId="0" borderId="7" xfId="0" applyNumberFormat="1" applyFont="1" applyFill="1" applyBorder="1" applyAlignment="1">
      <alignment horizontal="center" vertical="center" wrapText="1"/>
    </xf>
    <xf numFmtId="182" fontId="7" fillId="0" borderId="7" xfId="0" applyNumberFormat="1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right" vertical="center" wrapText="1"/>
    </xf>
    <xf numFmtId="0" fontId="5" fillId="0" borderId="9" xfId="0" applyFont="1" applyFill="1" applyBorder="1" applyAlignment="1">
      <alignment horizontal="right" vertical="center" wrapText="1"/>
    </xf>
    <xf numFmtId="0" fontId="5" fillId="0" borderId="10" xfId="0" applyFont="1" applyFill="1" applyBorder="1" applyAlignment="1">
      <alignment horizontal="right" vertical="center" wrapText="1"/>
    </xf>
    <xf numFmtId="182" fontId="5" fillId="0" borderId="7" xfId="0" applyNumberFormat="1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22" fillId="0" borderId="7" xfId="0" applyFont="1" applyFill="1" applyBorder="1" applyAlignment="1">
      <alignment horizontal="center" vertical="center" wrapText="1"/>
    </xf>
    <xf numFmtId="49" fontId="22" fillId="0" borderId="7" xfId="0" applyNumberFormat="1" applyFont="1" applyFill="1" applyBorder="1" applyAlignment="1">
      <alignment horizontal="left" vertical="center" wrapText="1"/>
    </xf>
    <xf numFmtId="49" fontId="22" fillId="0" borderId="7" xfId="0" applyNumberFormat="1" applyFont="1" applyFill="1" applyBorder="1" applyAlignment="1">
      <alignment horizontal="center" vertical="center" wrapText="1"/>
    </xf>
    <xf numFmtId="0" fontId="23" fillId="0" borderId="12" xfId="0" applyFont="1" applyFill="1" applyBorder="1" applyAlignment="1" applyProtection="1">
      <alignment horizontal="left" vertical="center" wrapText="1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9" fillId="0" borderId="7" xfId="0" applyNumberFormat="1" applyFont="1" applyFill="1" applyBorder="1" applyAlignment="1" quotePrefix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  <cellStyle name="常规 2 2" xfId="50"/>
    <cellStyle name="常规 2" xfId="51"/>
    <cellStyle name="常规 3" xf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J18"/>
  <sheetViews>
    <sheetView showGridLines="0" tabSelected="1" topLeftCell="A5" workbookViewId="0">
      <selection activeCell="B13" sqref="B13:O13"/>
    </sheetView>
  </sheetViews>
  <sheetFormatPr defaultColWidth="9" defaultRowHeight="14.25"/>
  <cols>
    <col min="1" max="1" width="13.3416666666667" style="3" customWidth="1"/>
    <col min="2" max="4" width="17" style="3" customWidth="1"/>
    <col min="5" max="5" width="16.5833333333333" style="3" customWidth="1"/>
    <col min="6" max="6" width="19.6416666666667" style="3" customWidth="1"/>
    <col min="7" max="7" width="8.4" style="3" customWidth="1"/>
    <col min="8" max="8" width="9.05833333333333" style="3" customWidth="1"/>
    <col min="9" max="9" width="15.2" style="3" customWidth="1"/>
    <col min="10" max="10" width="16.9333333333333" style="3" customWidth="1"/>
    <col min="11" max="12" width="12.3416666666667" style="4" customWidth="1"/>
    <col min="13" max="13" width="12.7" style="5" customWidth="1"/>
    <col min="14" max="14" width="12.3416666666667" style="6" customWidth="1"/>
    <col min="15" max="15" width="8.675" style="3" customWidth="1"/>
    <col min="16" max="16" width="9" style="7"/>
    <col min="17" max="16384" width="9" style="3"/>
  </cols>
  <sheetData>
    <row r="1" ht="17.25" customHeight="1" spans="1:3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ht="17.25" customHeight="1" spans="1:36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ht="22.5" customHeight="1" spans="1:36">
      <c r="A3" s="14" t="s">
        <v>1</v>
      </c>
      <c r="B3" s="15"/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ht="22.5" customHeight="1" spans="1:36">
      <c r="A4" s="15" t="s">
        <v>2</v>
      </c>
      <c r="B4" s="19">
        <v>46178</v>
      </c>
      <c r="C4" s="19"/>
      <c r="D4" s="19"/>
      <c r="E4" s="19"/>
      <c r="F4" s="19"/>
      <c r="G4" s="19"/>
      <c r="H4" s="19"/>
      <c r="I4" s="15" t="s">
        <v>3</v>
      </c>
      <c r="J4" s="19">
        <f>B4+30</f>
        <v>46208</v>
      </c>
      <c r="K4" s="19"/>
      <c r="L4" s="19"/>
      <c r="M4" s="19"/>
      <c r="N4" s="19"/>
      <c r="O4" s="19"/>
    </row>
    <row r="5" ht="22.5" customHeight="1" spans="1:36">
      <c r="A5" s="15" t="s">
        <v>4</v>
      </c>
      <c r="B5" s="15" t="s">
        <v>5</v>
      </c>
      <c r="C5" s="15"/>
      <c r="D5" s="15"/>
      <c r="E5" s="15"/>
      <c r="F5" s="15"/>
      <c r="G5" s="15"/>
      <c r="H5" s="15"/>
      <c r="I5" s="15" t="s">
        <v>6</v>
      </c>
      <c r="J5" s="19" t="s">
        <v>7</v>
      </c>
      <c r="K5" s="19"/>
      <c r="L5" s="19"/>
      <c r="M5" s="19"/>
      <c r="N5" s="19"/>
      <c r="O5" s="19"/>
    </row>
    <row r="6" ht="22.5" customHeight="1" spans="1:36">
      <c r="A6" s="15" t="s">
        <v>8</v>
      </c>
      <c r="B6" s="15" t="s">
        <v>9</v>
      </c>
      <c r="C6" s="15"/>
      <c r="D6" s="15"/>
      <c r="E6" s="15"/>
      <c r="F6" s="15"/>
      <c r="G6" s="15"/>
      <c r="H6" s="15"/>
      <c r="I6" s="15" t="s">
        <v>10</v>
      </c>
      <c r="J6" s="19" t="s">
        <v>11</v>
      </c>
      <c r="K6" s="19"/>
      <c r="L6" s="19"/>
      <c r="M6" s="19"/>
      <c r="N6" s="19"/>
      <c r="O6" s="19"/>
    </row>
    <row r="7" ht="22.5" customHeight="1" spans="1:36">
      <c r="A7" s="15" t="s">
        <v>12</v>
      </c>
      <c r="B7" s="15" t="s">
        <v>13</v>
      </c>
      <c r="C7" s="15"/>
      <c r="D7" s="15"/>
      <c r="E7" s="15"/>
      <c r="F7" s="15"/>
      <c r="G7" s="15"/>
      <c r="H7" s="15"/>
      <c r="I7" s="15" t="s">
        <v>12</v>
      </c>
      <c r="J7" s="19" t="s">
        <v>14</v>
      </c>
      <c r="K7" s="19"/>
      <c r="L7" s="19"/>
      <c r="M7" s="19"/>
      <c r="N7" s="19"/>
      <c r="O7" s="19"/>
    </row>
    <row r="8" ht="32" customHeight="1" spans="1:36">
      <c r="A8" s="20" t="s">
        <v>15</v>
      </c>
      <c r="B8" s="20" t="s">
        <v>16</v>
      </c>
      <c r="C8" s="20" t="s">
        <v>17</v>
      </c>
      <c r="D8" s="20" t="s">
        <v>18</v>
      </c>
      <c r="E8" s="20" t="s">
        <v>19</v>
      </c>
      <c r="F8" s="20" t="s">
        <v>20</v>
      </c>
      <c r="G8" s="20" t="s">
        <v>21</v>
      </c>
      <c r="H8" s="20" t="s">
        <v>22</v>
      </c>
      <c r="I8" s="20" t="s">
        <v>23</v>
      </c>
      <c r="J8" s="20" t="s">
        <v>24</v>
      </c>
      <c r="K8" s="21" t="s">
        <v>25</v>
      </c>
      <c r="L8" s="21" t="s">
        <v>26</v>
      </c>
      <c r="M8" s="22" t="s">
        <v>27</v>
      </c>
      <c r="N8" s="23" t="s">
        <v>28</v>
      </c>
      <c r="O8" s="20" t="s">
        <v>29</v>
      </c>
      <c r="Q8" s="7"/>
      <c r="R8" s="7"/>
      <c r="S8" s="7"/>
      <c r="T8" s="7"/>
      <c r="U8" s="7"/>
      <c r="V8" s="7"/>
    </row>
    <row r="9" s="1" customFormat="1" ht="67" customHeight="1" spans="1:36">
      <c r="A9" s="24">
        <v>1</v>
      </c>
      <c r="B9" s="25" t="str">
        <f>_xlfn.DISPIMG("ID_141D66A299754B06AEB4B310CA2D5E25",1)</f>
        <v>=DISPIMG("ID_141D66A299754B06AEB4B310CA2D5E25",1)</v>
      </c>
      <c r="C9" s="26" t="s">
        <v>30</v>
      </c>
      <c r="D9" s="26" t="s">
        <v>31</v>
      </c>
      <c r="E9" s="61" t="s">
        <v>32</v>
      </c>
      <c r="F9" s="26" t="s">
        <v>33</v>
      </c>
      <c r="G9" s="26" t="s">
        <v>34</v>
      </c>
      <c r="H9" s="26" t="s">
        <v>35</v>
      </c>
      <c r="I9" s="27" t="s">
        <v>36</v>
      </c>
      <c r="J9" s="28" t="s">
        <v>37</v>
      </c>
      <c r="K9" s="29">
        <v>1000</v>
      </c>
      <c r="L9" s="30" t="s">
        <v>38</v>
      </c>
      <c r="M9" s="31">
        <v>21.7</v>
      </c>
      <c r="N9" s="31">
        <f>M9*K9</f>
        <v>21700</v>
      </c>
      <c r="O9" s="32"/>
    </row>
    <row r="10" s="1" customFormat="1" ht="75" customHeight="1" spans="1:36">
      <c r="A10" s="33"/>
      <c r="B10" s="34" t="str">
        <f>_xlfn.DISPIMG("ID_2902B6EFA44545599DA800C33977F32B",1)</f>
        <v>=DISPIMG("ID_2902B6EFA44545599DA800C33977F32B",1)</v>
      </c>
      <c r="C10" s="35" t="s">
        <v>39</v>
      </c>
      <c r="D10" s="36"/>
      <c r="E10" s="37"/>
      <c r="F10" s="36"/>
      <c r="G10" s="38"/>
      <c r="H10" s="38"/>
      <c r="I10" s="39"/>
      <c r="J10" s="40"/>
      <c r="K10" s="41"/>
      <c r="L10" s="42"/>
      <c r="M10" s="43"/>
      <c r="N10" s="44"/>
      <c r="O10" s="45"/>
    </row>
    <row r="11" ht="22.5" customHeight="1" spans="1:36">
      <c r="A11" s="46" t="s">
        <v>40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8"/>
      <c r="N11" s="49">
        <f>SUM(N9:N9)</f>
        <v>21700</v>
      </c>
      <c r="O11" s="15"/>
      <c r="Q11" s="7"/>
      <c r="R11" s="7"/>
      <c r="S11" s="7"/>
      <c r="T11" s="7"/>
      <c r="U11" s="7"/>
      <c r="V11" s="7"/>
    </row>
    <row r="12" ht="48" customHeight="1" spans="1:36">
      <c r="A12" s="15" t="s">
        <v>41</v>
      </c>
      <c r="B12" s="50" t="s">
        <v>42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</row>
    <row r="13" ht="48" customHeight="1" spans="1:36">
      <c r="A13" s="15" t="s">
        <v>43</v>
      </c>
      <c r="B13" s="52" t="s">
        <v>44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</row>
    <row r="14" ht="48" customHeight="1" spans="1:36">
      <c r="A14" s="15" t="s">
        <v>45</v>
      </c>
      <c r="B14" s="14" t="s">
        <v>46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ht="48" customHeight="1" spans="1:36">
      <c r="A15" s="15" t="s">
        <v>47</v>
      </c>
      <c r="B15" s="14" t="s">
        <v>13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="2" customFormat="1" ht="239" customHeight="1" spans="1:36">
      <c r="A16" s="54" t="s">
        <v>48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/>
      <c r="R16" s="56"/>
      <c r="S16" s="55"/>
      <c r="T16" s="55"/>
      <c r="U16" s="55"/>
      <c r="V16" s="56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</row>
    <row r="17" ht="22.5" customHeight="1" spans="1:15">
      <c r="A17" s="15" t="s">
        <v>4</v>
      </c>
      <c r="B17" s="15" t="s">
        <v>5</v>
      </c>
      <c r="C17" s="15"/>
      <c r="D17" s="15"/>
      <c r="E17" s="15"/>
      <c r="F17" s="15"/>
      <c r="G17" s="15"/>
      <c r="H17" s="15"/>
      <c r="I17" s="15"/>
      <c r="J17" s="15" t="s">
        <v>49</v>
      </c>
      <c r="K17" s="15"/>
      <c r="L17" s="15"/>
      <c r="M17" s="15"/>
      <c r="N17" s="15"/>
      <c r="O17" s="15"/>
    </row>
    <row r="18" ht="22" customHeight="1" spans="1:15">
      <c r="A18" s="57" t="s">
        <v>50</v>
      </c>
      <c r="B18" s="58" t="s">
        <v>51</v>
      </c>
      <c r="C18" s="59"/>
      <c r="D18" s="57" t="s">
        <v>52</v>
      </c>
      <c r="E18" s="58"/>
      <c r="F18" s="58"/>
      <c r="G18" s="60"/>
      <c r="H18" s="59"/>
      <c r="I18" s="58" t="s">
        <v>53</v>
      </c>
      <c r="J18" s="58"/>
      <c r="K18" s="60"/>
      <c r="L18" s="60"/>
      <c r="M18" s="60"/>
      <c r="N18" s="60"/>
      <c r="O18" s="59"/>
    </row>
  </sheetData>
  <mergeCells count="23">
    <mergeCell ref="A3:B3"/>
    <mergeCell ref="C3:O3"/>
    <mergeCell ref="B4:H4"/>
    <mergeCell ref="J4:O4"/>
    <mergeCell ref="B5:H5"/>
    <mergeCell ref="J5:O5"/>
    <mergeCell ref="B6:H6"/>
    <mergeCell ref="J6:O6"/>
    <mergeCell ref="B7:H7"/>
    <mergeCell ref="J7:O7"/>
    <mergeCell ref="A11:M11"/>
    <mergeCell ref="B12:O12"/>
    <mergeCell ref="B13:O13"/>
    <mergeCell ref="B14:O14"/>
    <mergeCell ref="B15:O15"/>
    <mergeCell ref="A16:O16"/>
    <mergeCell ref="B17:I17"/>
    <mergeCell ref="J17:K17"/>
    <mergeCell ref="M17:O17"/>
    <mergeCell ref="B18:C18"/>
    <mergeCell ref="F18:H18"/>
    <mergeCell ref="J18:O18"/>
    <mergeCell ref="A1:O2"/>
  </mergeCells>
  <pageMargins left="0" right="0" top="0" bottom="0" header="0.511805555555556" footer="0.511805555555556"/>
  <pageSetup paperSize="9" scale="56" orientation="landscape" horizontalDpi="600"/>
  <headerFooter alignWithMargins="0" scaleWithDoc="0"/>
  <ignoredErrors>
    <ignoredError sqref="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李迎</cp:lastModifiedBy>
  <dcterms:created xsi:type="dcterms:W3CDTF">2019-03-11T01:30:00Z</dcterms:created>
  <cp:lastPrinted>2019-09-12T08:26:00Z</cp:lastPrinted>
  <dcterms:modified xsi:type="dcterms:W3CDTF">2026-06-05T09:06:45Z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44C9F26E055849CC989FD3F11B99A89A_13</vt:lpwstr>
  </property>
  <property fmtid="{D5CDD505-2E9C-101B-9397-08002B2CF9AE}" pid="4" name="CalculationRule">
    <vt:i4>0</vt:i4>
  </property>
</Properties>
</file>